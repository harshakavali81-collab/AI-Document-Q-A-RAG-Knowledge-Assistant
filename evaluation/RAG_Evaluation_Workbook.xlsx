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8dc6199f3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60694c6909425f"/>
    <x:sheet xmlns:r="http://schemas.openxmlformats.org/officeDocument/2006/relationships" name="Questions" sheetId="2" r:id="R1c546fb52218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5">
    <x:font>
      <x:sz val="11"/>
      <x:name val="Carlito"/>
    </x:font>
    <x:font>
      <x:sz val="10"/>
      <x:color rgb="FF20354A"/>
      <x:name val="Arial"/>
    </x:font>
    <x:font>
      <x:b/>
      <x:sz val="15"/>
      <x:color rgb="FF20354A"/>
      <x:name val="Arial"/>
    </x:font>
    <x:font>
      <x:b/>
      <x:sz val="10"/>
      <x:color rgb="FFFFFFFF"/>
      <x:name val="Arial"/>
    </x:font>
    <x:font>
      <x:b/>
      <x:sz val="10"/>
      <x:color rgb="FF20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54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9C5700"/>
      </x:font>
      <x:fill>
        <x:patternFill patternType="solid">
          <x:bgColor rgb="FFFFF0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7a7dec8a5400c" /><Relationship Type="http://schemas.openxmlformats.org/officeDocument/2006/relationships/theme" Target="/xl/theme/theme1.xml" Id="Rc99b1e34cd2b4947" /><Relationship Type="http://schemas.openxmlformats.org/officeDocument/2006/relationships/sharedStrings" Target="/xl/sharedStrings.xml" Id="Re0ef4c489881418d" /><Relationship Type="http://schemas.openxmlformats.org/officeDocument/2006/relationships/worksheet" Target="/xl/worksheets/sheet1.xml" Id="Rcf60694c6909425f" /><Relationship Type="http://schemas.openxmlformats.org/officeDocument/2006/relationships/worksheet" Target="/xl/worksheets/sheet2.xml" Id="R1c546fb52218470c" /></Relationships>
</file>

<file path=xl/tables/table1.xml><?xml version="1.0" encoding="utf-8"?>
<x:table xmlns:x="http://schemas.openxmlformats.org/spreadsheetml/2006/main" id="1" name="EvaluationQuestions" displayName="EvaluationQuestions" ref="A5:I35" headerRowCount="1" totalsRowCount="0" totalsRowShown="0">
  <x:tableColumns count="9">
    <x:tableColumn id="1" name="ID"/>
    <x:tableColumn id="2" name="Question"/>
    <x:tableColumn id="3" name="Answerable"/>
    <x:tableColumn id="4" name="Expected source"/>
    <x:tableColumn id="5" name="Evidence phrase"/>
    <x:tableColumn id="6" name="Evidence hit"/>
    <x:tableColumn id="7" name="Abstained"/>
    <x:tableColumn id="8" name="Retrieval ms"/>
    <x:tableColumn id="9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7a54ff15946cc" /></Relationships>
</file>

<file path=xl/worksheets/sheet1.xml><?xml version="1.0" encoding="utf-8"?>
<x:worksheet xmlns:x="http://schemas.openxmlformats.org/spreadsheetml/2006/main">
  <x:sheetPr>
    <x:tabColor rgb="FF20354A"/>
  </x:sheetPr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3" hidden="0" customWidth="1"/>
    <x:col min="4" max="4" width="7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RAG evaluation results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6" t="str">
        <x:v>Metric</x:v>
      </x:c>
      <x:c r="B4" s="6" t="str">
        <x:v>Result</x:v>
      </x:c>
      <x:c r="C4" s="2"/>
      <x:c r="D4" s="7" t="str">
        <x:v>Interpretation</x:v>
      </x:c>
      <x:c r="E4" s="2"/>
      <x:c r="F4" s="2"/>
      <x:c r="G4" s="2"/>
      <x:c r="H4" s="2"/>
      <x:c r="I4" s="2"/>
      <x:c r="J4" s="2"/>
    </x:row>
    <x:row r="5" ht="24" customHeight="1">
      <x:c r="A5" s="2" t="str">
        <x:v>Questions</x:v>
      </x:c>
      <x:c r="B5" s="2" t="n">
        <x:f>COUNTA(Questions!A6:A35)</x:f>
        <x:v>30</x:v>
      </x:c>
      <x:c r="C5" s="2"/>
      <x:c r="D5" s="2" t="str">
        <x:v>Lexical retrieval only; no generated-answer accuracy measured.</x:v>
      </x:c>
      <x:c r="E5" s="2"/>
      <x:c r="F5" s="2"/>
      <x:c r="G5" s="2"/>
      <x:c r="H5" s="2"/>
      <x:c r="I5" s="2"/>
      <x:c r="J5" s="2"/>
    </x:row>
    <x:row r="6" ht="24" customHeight="1">
      <x:c r="A6" s="2" t="str">
        <x:v>Answerable questions</x:v>
      </x:c>
      <x:c r="B6" s="2" t="n">
        <x:f>COUNTIFS(Questions!C6:C35,1)</x:f>
        <x:v>25</x:v>
      </x:c>
      <x:c r="C6" s="2"/>
      <x:c r="D6" s="2"/>
      <x:c r="E6" s="2"/>
      <x:c r="F6" s="2"/>
      <x:c r="G6" s="2"/>
      <x:c r="H6" s="2"/>
      <x:c r="I6" s="2"/>
      <x:c r="J6" s="2"/>
    </x:row>
    <x:row r="7" ht="24" customHeight="1">
      <x:c r="A7" s="2" t="str">
        <x:v>Evidence found in top 3</x:v>
      </x:c>
      <x:c r="B7" s="2" t="n">
        <x:f>SUM(Questions!F6:F35)</x:f>
        <x:v>23</x:v>
      </x:c>
      <x:c r="C7" s="2"/>
      <x:c r="D7" s="2" t="str">
        <x:v>Authored fictional corpus: 25 positive and 5 negative questions.</x:v>
      </x:c>
      <x:c r="E7" s="2"/>
      <x:c r="F7" s="2"/>
      <x:c r="G7" s="2"/>
      <x:c r="H7" s="2"/>
      <x:c r="I7" s="2"/>
      <x:c r="J7" s="2"/>
    </x:row>
    <x:row r="8" ht="24" customHeight="1">
      <x:c r="A8" s="2" t="str">
        <x:v>Evidence hit rate at 3</x:v>
      </x:c>
      <x:c r="B8" s="4" t="n">
        <x:f>IF(B6=0,"n.a.",B7/B6)</x:f>
        <x:v>0.92</x:v>
      </x:c>
      <x:c r="C8" s="2"/>
      <x:c r="D8" s="2"/>
      <x:c r="E8" s="2"/>
      <x:c r="F8" s="2"/>
      <x:c r="G8" s="2"/>
      <x:c r="H8" s="2"/>
      <x:c r="I8" s="2"/>
      <x:c r="J8" s="2"/>
    </x:row>
    <x:row r="9" ht="24" customHeight="1">
      <x:c r="A9" s="2" t="str">
        <x:v>Unsupported questions</x:v>
      </x:c>
      <x:c r="B9" s="2" t="n">
        <x:f>COUNTIFS(Questions!C6:C35,0)</x:f>
        <x:v>5</x:v>
      </x:c>
      <x:c r="C9" s="2"/>
      <x:c r="D9" s="2" t="str">
        <x:v>Related passages may be retrieved for unanswerable questions.</x:v>
      </x:c>
      <x:c r="E9" s="2"/>
      <x:c r="F9" s="2"/>
      <x:c r="G9" s="2"/>
      <x:c r="H9" s="2"/>
      <x:c r="I9" s="2"/>
      <x:c r="J9" s="2"/>
    </x:row>
    <x:row r="10" ht="24" customHeight="1">
      <x:c r="A10" s="2" t="str">
        <x:v>Correct retrieval abstentions</x:v>
      </x:c>
      <x:c r="B10" s="2" t="n">
        <x:f>SUMIFS(Questions!G6:G35,Questions!C6:C35,0)</x:f>
        <x:v>3</x:v>
      </x:c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2" t="str">
        <x:v>Unsupported-question abstention rate</x:v>
      </x:c>
      <x:c r="B11" s="4" t="n">
        <x:f>IF(B9=0,"n.a.",B10/B9)</x:f>
        <x:v>0.6</x:v>
      </x:c>
      <x:c r="C11" s="2"/>
      <x:c r="D11" s="2" t="str">
        <x:v>Small development fixture; not a held-out benchmark.</x:v>
      </x:c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Workbook use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 t="str">
        <x:v>Source rows are in Questions. Filter Result to inspect misses.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Refresh the JSON evaluation, then rebuild this workbook.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 t="str">
        <x:v>The workbook summarizes 30 rows; it does not rerun retrieval.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64" hidden="0" customWidth="1"/>
    <x:col min="3" max="3" width="14" hidden="0" customWidth="1"/>
    <x:col min="4" max="4" width="29" hidden="0" customWidth="1"/>
    <x:col min="5" max="5" width="28" hidden="0" customWidth="1"/>
    <x:col min="6" max="6" width="14" hidden="0" customWidth="1"/>
    <x:col min="7" max="7" width="13" hidden="0" customWidth="1"/>
    <x:col min="8" max="8" width="16" hidden="0" customWidth="1"/>
    <x:col min="9" max="9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Evaluation question details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Source: evaluation/results.json, original run 2026-09-30. 1 = yes; 0 = no; n.a. = not applicable.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8" t="str">
        <x:v>ID</x:v>
      </x:c>
      <x:c r="B5" s="8" t="str">
        <x:v>Question</x:v>
      </x:c>
      <x:c r="C5" s="8" t="str">
        <x:v>Answerable</x:v>
      </x:c>
      <x:c r="D5" s="8" t="str">
        <x:v>Expected source</x:v>
      </x:c>
      <x:c r="E5" s="8" t="str">
        <x:v>Evidence phrase</x:v>
      </x:c>
      <x:c r="F5" s="8" t="str">
        <x:v>Evidence hit</x:v>
      </x:c>
      <x:c r="G5" s="8" t="str">
        <x:v>Abstained</x:v>
      </x:c>
      <x:c r="H5" s="8" t="str">
        <x:v>Retrieval ms</x:v>
      </x:c>
      <x:c r="I5" s="8" t="str">
        <x:v>Result</x:v>
      </x:c>
      <x:c r="J5" s="2"/>
    </x:row>
    <x:row r="6" ht="48" customHeight="1">
      <x:c r="A6" s="2" t="n">
        <x:v>1</x:v>
      </x:c>
      <x:c r="B6" s="9" t="str">
        <x:v>How many annual leave days are available?</x:v>
      </x:c>
      <x:c r="C6" s="9" t="n">
        <x:v>1</x:v>
      </x:c>
      <x:c r="D6" s="9" t="str">
        <x:v>people_policy.txt</x:v>
      </x:c>
      <x:c r="E6" s="9" t="str">
        <x:v>18 annual leave</x:v>
      </x:c>
      <x:c r="F6" s="2" t="n">
        <x:v>1</x:v>
      </x:c>
      <x:c r="G6" s="2" t="n">
        <x:v>0</x:v>
      </x:c>
      <x:c r="H6" s="10" t="n">
        <x:v>1.045</x:v>
      </x:c>
      <x:c r="I6" s="9" t="str">
        <x:f>IF(C6=1,IF(F6=1,"Evidence found","Evidence missed"),IF(G6=1,"Correct abstention","Unsupported retrieval"))</x:f>
        <x:v>Evidence found</x:v>
      </x:c>
      <x:c r="J6" s="2"/>
    </x:row>
    <x:row r="7" ht="48" customHeight="1">
      <x:c r="A7" s="2" t="n">
        <x:v>2</x:v>
      </x:c>
      <x:c r="B7" s="9" t="str">
        <x:v>How much unused annual leave can I carry forward?</x:v>
      </x:c>
      <x:c r="C7" s="9" t="n">
        <x:v>1</x:v>
      </x:c>
      <x:c r="D7" s="9" t="str">
        <x:v>people_policy.txt</x:v>
      </x:c>
      <x:c r="E7" s="9" t="str">
        <x:v>up to 5 days</x:v>
      </x:c>
      <x:c r="F7" s="2" t="n">
        <x:v>1</x:v>
      </x:c>
      <x:c r="G7" s="2" t="n">
        <x:v>0</x:v>
      </x:c>
      <x:c r="H7" s="10" t="n">
        <x:v>0.776</x:v>
      </x:c>
      <x:c r="I7" s="9" t="str">
        <x:f>IF(C7=1,IF(F7=1,"Evidence found","Evidence missed"),IF(G7=1,"Correct abstention","Unsupported retrieval"))</x:f>
        <x:v>Evidence found</x:v>
      </x:c>
      <x:c r="J7" s="2"/>
    </x:row>
    <x:row r="8" ht="48" customHeight="1">
      <x:c r="A8" s="2" t="n">
        <x:v>3</x:v>
      </x:c>
      <x:c r="B8" s="9" t="str">
        <x:v>Who approves annual leave requests?</x:v>
      </x:c>
      <x:c r="C8" s="9" t="n">
        <x:v>1</x:v>
      </x:c>
      <x:c r="D8" s="9" t="str">
        <x:v>people_policy.txt</x:v>
      </x:c>
      <x:c r="E8" s="9" t="str">
        <x:v>Managers approve</x:v>
      </x:c>
      <x:c r="F8" s="2" t="n">
        <x:v>1</x:v>
      </x:c>
      <x:c r="G8" s="2" t="n">
        <x:v>0</x:v>
      </x:c>
      <x:c r="H8" s="10" t="n">
        <x:v>0.389</x:v>
      </x:c>
      <x:c r="I8" s="9" t="str">
        <x:f>IF(C8=1,IF(F8=1,"Evidence found","Evidence missed"),IF(G8=1,"Correct abstention","Unsupported retrieval"))</x:f>
        <x:v>Evidence found</x:v>
      </x:c>
      <x:c r="J8" s="2"/>
    </x:row>
    <x:row r="9" ht="48" customHeight="1">
      <x:c r="A9" s="2" t="n">
        <x:v>4</x:v>
      </x:c>
      <x:c r="B9" s="9" t="str">
        <x:v>How many sick leave days do employees get?</x:v>
      </x:c>
      <x:c r="C9" s="9" t="n">
        <x:v>1</x:v>
      </x:c>
      <x:c r="D9" s="9" t="str">
        <x:v>people_policy.txt</x:v>
      </x:c>
      <x:c r="E9" s="9" t="str">
        <x:v>10 sick leave</x:v>
      </x:c>
      <x:c r="F9" s="2" t="n">
        <x:v>1</x:v>
      </x:c>
      <x:c r="G9" s="2" t="n">
        <x:v>0</x:v>
      </x:c>
      <x:c r="H9" s="10" t="n">
        <x:v>0.406</x:v>
      </x:c>
      <x:c r="I9" s="9" t="str">
        <x:f>IF(C9=1,IF(F9=1,"Evidence found","Evidence missed"),IF(G9=1,"Correct abstention","Unsupported retrieval"))</x:f>
        <x:v>Evidence found</x:v>
      </x:c>
      <x:c r="J9" s="2"/>
    </x:row>
    <x:row r="10" ht="48" customHeight="1">
      <x:c r="A10" s="2" t="n">
        <x:v>5</x:v>
      </x:c>
      <x:c r="B10" s="9" t="str">
        <x:v>When is a medical certificate required?</x:v>
      </x:c>
      <x:c r="C10" s="9" t="n">
        <x:v>1</x:v>
      </x:c>
      <x:c r="D10" s="9" t="str">
        <x:v>people_policy.txt</x:v>
      </x:c>
      <x:c r="E10" s="9" t="str">
        <x:v>3 consecutive</x:v>
      </x:c>
      <x:c r="F10" s="2" t="n">
        <x:v>1</x:v>
      </x:c>
      <x:c r="G10" s="2" t="n">
        <x:v>0</x:v>
      </x:c>
      <x:c r="H10" s="10" t="n">
        <x:v>0.524</x:v>
      </x:c>
      <x:c r="I10" s="9" t="str">
        <x:f>IF(C10=1,IF(F10=1,"Evidence found","Evidence missed"),IF(G10=1,"Correct abstention","Unsupported retrieval"))</x:f>
        <x:v>Evidence found</x:v>
      </x:c>
      <x:c r="J10" s="2"/>
    </x:row>
    <x:row r="11" ht="48" customHeight="1">
      <x:c r="A11" s="2" t="n">
        <x:v>6</x:v>
      </x:c>
      <x:c r="B11" s="9" t="str">
        <x:v>How many remote work days are allowed?</x:v>
      </x:c>
      <x:c r="C11" s="9" t="n">
        <x:v>1</x:v>
      </x:c>
      <x:c r="D11" s="9" t="str">
        <x:v>people_policy.txt</x:v>
      </x:c>
      <x:c r="E11" s="9" t="str">
        <x:v>2 days per week</x:v>
      </x:c>
      <x:c r="F11" s="2" t="n">
        <x:v>1</x:v>
      </x:c>
      <x:c r="G11" s="2" t="n">
        <x:v>0</x:v>
      </x:c>
      <x:c r="H11" s="10" t="n">
        <x:v>0.479</x:v>
      </x:c>
      <x:c r="I11" s="9" t="str">
        <x:f>IF(C11=1,IF(F11=1,"Evidence found","Evidence missed"),IF(G11=1,"Correct abstention","Unsupported retrieval"))</x:f>
        <x:v>Evidence found</x:v>
      </x:c>
      <x:c r="J11" s="2"/>
    </x:row>
    <x:row r="12" ht="48" customHeight="1">
      <x:c r="A12" s="2" t="n">
        <x:v>7</x:v>
      </x:c>
      <x:c r="B12" s="9" t="str">
        <x:v>When should remote work requests be submitted?</x:v>
      </x:c>
      <x:c r="C12" s="9" t="n">
        <x:v>1</x:v>
      </x:c>
      <x:c r="D12" s="9" t="str">
        <x:v>people_policy.txt</x:v>
      </x:c>
      <x:c r="E12" s="9" t="str">
        <x:v>Friday</x:v>
      </x:c>
      <x:c r="F12" s="2" t="n">
        <x:v>1</x:v>
      </x:c>
      <x:c r="G12" s="2" t="n">
        <x:v>0</x:v>
      </x:c>
      <x:c r="H12" s="10" t="n">
        <x:v>0.34</x:v>
      </x:c>
      <x:c r="I12" s="9" t="str">
        <x:f>IF(C12=1,IF(F12=1,"Evidence found","Evidence missed"),IF(G12=1,"Correct abstention","Unsupported retrieval"))</x:f>
        <x:v>Evidence found</x:v>
      </x:c>
      <x:c r="J12" s="2"/>
    </x:row>
    <x:row r="13" ht="48" customHeight="1">
      <x:c r="A13" s="2" t="n">
        <x:v>8</x:v>
      </x:c>
      <x:c r="B13" s="9" t="str">
        <x:v>How long is probation?</x:v>
      </x:c>
      <x:c r="C13" s="9" t="n">
        <x:v>1</x:v>
      </x:c>
      <x:c r="D13" s="9" t="str">
        <x:v>people_policy.txt</x:v>
      </x:c>
      <x:c r="E13" s="9" t="str">
        <x:v>6 months</x:v>
      </x:c>
      <x:c r="F13" s="2" t="n">
        <x:v>1</x:v>
      </x:c>
      <x:c r="G13" s="2" t="n">
        <x:v>0</x:v>
      </x:c>
      <x:c r="H13" s="10" t="n">
        <x:v>0.954</x:v>
      </x:c>
      <x:c r="I13" s="9" t="str">
        <x:f>IF(C13=1,IF(F13=1,"Evidence found","Evidence missed"),IF(G13=1,"Correct abstention","Unsupported retrieval"))</x:f>
        <x:v>Evidence found</x:v>
      </x:c>
      <x:c r="J13" s="2"/>
    </x:row>
    <x:row r="14" ht="48" customHeight="1">
      <x:c r="A14" s="2" t="n">
        <x:v>9</x:v>
      </x:c>
      <x:c r="B14" s="9" t="str">
        <x:v>What is the annual learning budget?</x:v>
      </x:c>
      <x:c r="C14" s="9" t="n">
        <x:v>1</x:v>
      </x:c>
      <x:c r="D14" s="9" t="str">
        <x:v>people_policy.txt</x:v>
      </x:c>
      <x:c r="E14" s="9" t="str">
        <x:v>15,000</x:v>
      </x:c>
      <x:c r="F14" s="2" t="n">
        <x:v>1</x:v>
      </x:c>
      <x:c r="G14" s="2" t="n">
        <x:v>0</x:v>
      </x:c>
      <x:c r="H14" s="10" t="n">
        <x:v>0.333</x:v>
      </x:c>
      <x:c r="I14" s="9" t="str">
        <x:f>IF(C14=1,IF(F14=1,"Evidence found","Evidence missed"),IF(G14=1,"Correct abstention","Unsupported retrieval"))</x:f>
        <x:v>Evidence found</x:v>
      </x:c>
      <x:c r="J14" s="2"/>
    </x:row>
    <x:row r="15" ht="48" customHeight="1">
      <x:c r="A15" s="2" t="n">
        <x:v>10</x:v>
      </x:c>
      <x:c r="B15" s="9" t="str">
        <x:v>When must travel expense claims be submitted?</x:v>
      </x:c>
      <x:c r="C15" s="9" t="n">
        <x:v>1</x:v>
      </x:c>
      <x:c r="D15" s="9" t="str">
        <x:v>people_policy.txt</x:v>
      </x:c>
      <x:c r="E15" s="9" t="str">
        <x:v>30 days</x:v>
      </x:c>
      <x:c r="F15" s="2" t="n">
        <x:v>1</x:v>
      </x:c>
      <x:c r="G15" s="2" t="n">
        <x:v>0</x:v>
      </x:c>
      <x:c r="H15" s="10" t="n">
        <x:v>1.132</x:v>
      </x:c>
      <x:c r="I15" s="9" t="str">
        <x:f>IF(C15=1,IF(F15=1,"Evidence found","Evidence missed"),IF(G15=1,"Correct abstention","Unsupported retrieval"))</x:f>
        <x:v>Evidence found</x:v>
      </x:c>
      <x:c r="J15" s="2"/>
    </x:row>
    <x:row r="16" ht="48" customHeight="1">
      <x:c r="A16" s="2" t="n">
        <x:v>11</x:v>
      </x:c>
      <x:c r="B16" s="9" t="str">
        <x:v>What are standard working hours?</x:v>
      </x:c>
      <x:c r="C16" s="9" t="n">
        <x:v>1</x:v>
      </x:c>
      <x:c r="D16" s="9" t="str">
        <x:v>people_policy.txt</x:v>
      </x:c>
      <x:c r="E16" s="9" t="str">
        <x:v>9:30 AM</x:v>
      </x:c>
      <x:c r="F16" s="2" t="n">
        <x:v>1</x:v>
      </x:c>
      <x:c r="G16" s="2" t="n">
        <x:v>0</x:v>
      </x:c>
      <x:c r="H16" s="10" t="n">
        <x:v>0.54</x:v>
      </x:c>
      <x:c r="I16" s="9" t="str">
        <x:f>IF(C16=1,IF(F16=1,"Evidence found","Evidence missed"),IF(G16=1,"Correct abstention","Unsupported retrieval"))</x:f>
        <x:v>Evidence found</x:v>
      </x:c>
      <x:c r="J16" s="2"/>
    </x:row>
    <x:row r="17" ht="48" customHeight="1">
      <x:c r="A17" s="2" t="n">
        <x:v>12</x:v>
      </x:c>
      <x:c r="B17" s="9" t="str">
        <x:v>When should security incidents be reported?</x:v>
      </x:c>
      <x:c r="C17" s="9" t="n">
        <x:v>1</x:v>
      </x:c>
      <x:c r="D17" s="9" t="str">
        <x:v>security_policy.txt</x:v>
      </x:c>
      <x:c r="E17" s="9" t="str">
        <x:v>1 hour</x:v>
      </x:c>
      <x:c r="F17" s="2" t="n">
        <x:v>1</x:v>
      </x:c>
      <x:c r="G17" s="2" t="n">
        <x:v>0</x:v>
      </x:c>
      <x:c r="H17" s="10" t="n">
        <x:v>0.88</x:v>
      </x:c>
      <x:c r="I17" s="9" t="str">
        <x:f>IF(C17=1,IF(F17=1,"Evidence found","Evidence missed"),IF(G17=1,"Correct abstention","Unsupported retrieval"))</x:f>
        <x:v>Evidence found</x:v>
      </x:c>
      <x:c r="J17" s="2"/>
    </x:row>
    <x:row r="18" ht="48" customHeight="1">
      <x:c r="A18" s="2" t="n">
        <x:v>13</x:v>
      </x:c>
      <x:c r="B18" s="9" t="str">
        <x:v>What is the minimum password length?</x:v>
      </x:c>
      <x:c r="C18" s="9" t="n">
        <x:v>1</x:v>
      </x:c>
      <x:c r="D18" s="9" t="str">
        <x:v>security_policy.txt</x:v>
      </x:c>
      <x:c r="E18" s="9" t="str">
        <x:v>14 characters</x:v>
      </x:c>
      <x:c r="F18" s="2" t="n">
        <x:v>0</x:v>
      </x:c>
      <x:c r="G18" s="2" t="n">
        <x:v>1</x:v>
      </x:c>
      <x:c r="H18" s="10" t="n">
        <x:v>0.307</x:v>
      </x:c>
      <x:c r="I18" s="9" t="str">
        <x:f>IF(C18=1,IF(F18=1,"Evidence found","Evidence missed"),IF(G18=1,"Correct abstention","Unsupported retrieval"))</x:f>
        <x:v>Evidence missed</x:v>
      </x:c>
      <x:c r="J18" s="2"/>
    </x:row>
    <x:row r="19" ht="48" customHeight="1">
      <x:c r="A19" s="2" t="n">
        <x:v>14</x:v>
      </x:c>
      <x:c r="B19" s="9" t="str">
        <x:v>Is multi-factor authentication required?</x:v>
      </x:c>
      <x:c r="C19" s="9" t="n">
        <x:v>1</x:v>
      </x:c>
      <x:c r="D19" s="9" t="str">
        <x:v>security_policy.txt</x:v>
      </x:c>
      <x:c r="E19" s="9" t="str">
        <x:v>all company accounts</x:v>
      </x:c>
      <x:c r="F19" s="2" t="n">
        <x:v>1</x:v>
      </x:c>
      <x:c r="G19" s="2" t="n">
        <x:v>0</x:v>
      </x:c>
      <x:c r="H19" s="10" t="n">
        <x:v>0.314</x:v>
      </x:c>
      <x:c r="I19" s="9" t="str">
        <x:f>IF(C19=1,IF(F19=1,"Evidence found","Evidence missed"),IF(G19=1,"Correct abstention","Unsupported retrieval"))</x:f>
        <x:v>Evidence found</x:v>
      </x:c>
      <x:c r="J19" s="2"/>
    </x:row>
    <x:row r="20" ht="48" customHeight="1">
      <x:c r="A20" s="2" t="n">
        <x:v>15</x:v>
      </x:c>
      <x:c r="B20" s="9" t="str">
        <x:v>How are customer records classified?</x:v>
      </x:c>
      <x:c r="C20" s="9" t="n">
        <x:v>1</x:v>
      </x:c>
      <x:c r="D20" s="9" t="str">
        <x:v>security_policy.txt</x:v>
      </x:c>
      <x:c r="E20" s="9" t="str">
        <x:v>confidential</x:v>
      </x:c>
      <x:c r="F20" s="2" t="n">
        <x:v>1</x:v>
      </x:c>
      <x:c r="G20" s="2" t="n">
        <x:v>0</x:v>
      </x:c>
      <x:c r="H20" s="10" t="n">
        <x:v>1.492</x:v>
      </x:c>
      <x:c r="I20" s="9" t="str">
        <x:f>IF(C20=1,IF(F20=1,"Evidence found","Evidence missed"),IF(G20=1,"Correct abstention","Unsupported retrieval"))</x:f>
        <x:v>Evidence found</x:v>
      </x:c>
      <x:c r="J20" s="2"/>
    </x:row>
    <x:row r="21" ht="48" customHeight="1">
      <x:c r="A21" s="2" t="n">
        <x:v>16</x:v>
      </x:c>
      <x:c r="B21" s="9" t="str">
        <x:v>What happens after a company laptop is lost?</x:v>
      </x:c>
      <x:c r="C21" s="9" t="n">
        <x:v>1</x:v>
      </x:c>
      <x:c r="D21" s="9" t="str">
        <x:v>security_policy.txt</x:v>
      </x:c>
      <x:c r="E21" s="9" t="str">
        <x:v>remote device locking</x:v>
      </x:c>
      <x:c r="F21" s="2" t="n">
        <x:v>1</x:v>
      </x:c>
      <x:c r="G21" s="2" t="n">
        <x:v>0</x:v>
      </x:c>
      <x:c r="H21" s="10" t="n">
        <x:v>0.424</x:v>
      </x:c>
      <x:c r="I21" s="9" t="str">
        <x:f>IF(C21=1,IF(F21=1,"Evidence found","Evidence missed"),IF(G21=1,"Correct abstention","Unsupported retrieval"))</x:f>
        <x:v>Evidence found</x:v>
      </x:c>
      <x:c r="J21" s="2"/>
    </x:row>
    <x:row r="22" ht="48" customHeight="1">
      <x:c r="A22" s="2" t="n">
        <x:v>17</x:v>
      </x:c>
      <x:c r="B22" s="9" t="str">
        <x:v>How often are production databases backed up?</x:v>
      </x:c>
      <x:c r="C22" s="9" t="n">
        <x:v>1</x:v>
      </x:c>
      <x:c r="D22" s="9" t="str">
        <x:v>security_policy.txt</x:v>
      </x:c>
      <x:c r="E22" s="9" t="str">
        <x:v>daily</x:v>
      </x:c>
      <x:c r="F22" s="2" t="n">
        <x:v>1</x:v>
      </x:c>
      <x:c r="G22" s="2" t="n">
        <x:v>0</x:v>
      </x:c>
      <x:c r="H22" s="10" t="n">
        <x:v>1.111</x:v>
      </x:c>
      <x:c r="I22" s="9" t="str">
        <x:f>IF(C22=1,IF(F22=1,"Evidence found","Evidence missed"),IF(G22=1,"Correct abstention","Unsupported retrieval"))</x:f>
        <x:v>Evidence found</x:v>
      </x:c>
      <x:c r="J22" s="2"/>
    </x:row>
    <x:row r="23" ht="48" customHeight="1">
      <x:c r="A23" s="2" t="n">
        <x:v>18</x:v>
      </x:c>
      <x:c r="B23" s="9" t="str">
        <x:v>How long are backups retained?</x:v>
      </x:c>
      <x:c r="C23" s="9" t="n">
        <x:v>1</x:v>
      </x:c>
      <x:c r="D23" s="9" t="str">
        <x:v>security_policy.txt</x:v>
      </x:c>
      <x:c r="E23" s="9" t="str">
        <x:v>30 days</x:v>
      </x:c>
      <x:c r="F23" s="2" t="n">
        <x:v>1</x:v>
      </x:c>
      <x:c r="G23" s="2" t="n">
        <x:v>0</x:v>
      </x:c>
      <x:c r="H23" s="10" t="n">
        <x:v>0.428</x:v>
      </x:c>
      <x:c r="I23" s="9" t="str">
        <x:f>IF(C23=1,IF(F23=1,"Evidence found","Evidence missed"),IF(G23=1,"Correct abstention","Unsupported retrieval"))</x:f>
        <x:v>Evidence found</x:v>
      </x:c>
      <x:c r="J23" s="2"/>
    </x:row>
    <x:row r="24" ht="48" customHeight="1">
      <x:c r="A24" s="2" t="n">
        <x:v>19</x:v>
      </x:c>
      <x:c r="B24" s="9" t="str">
        <x:v>How often are access reviews conducted?</x:v>
      </x:c>
      <x:c r="C24" s="9" t="n">
        <x:v>1</x:v>
      </x:c>
      <x:c r="D24" s="9" t="str">
        <x:v>security_policy.txt</x:v>
      </x:c>
      <x:c r="E24" s="9" t="str">
        <x:v>every quarter</x:v>
      </x:c>
      <x:c r="F24" s="2" t="n">
        <x:v>1</x:v>
      </x:c>
      <x:c r="G24" s="2" t="n">
        <x:v>0</x:v>
      </x:c>
      <x:c r="H24" s="10" t="n">
        <x:v>0.928</x:v>
      </x:c>
      <x:c r="I24" s="9" t="str">
        <x:f>IF(C24=1,IF(F24=1,"Evidence found","Evidence missed"),IF(G24=1,"Correct abstention","Unsupported retrieval"))</x:f>
        <x:v>Evidence found</x:v>
      </x:c>
      <x:c r="J24" s="2"/>
    </x:row>
    <x:row r="25" ht="48" customHeight="1">
      <x:c r="A25" s="2" t="n">
        <x:v>20</x:v>
      </x:c>
      <x:c r="B25" s="9" t="str">
        <x:v>How many workspaces does the Free plan support?</x:v>
      </x:c>
      <x:c r="C25" s="9" t="n">
        <x:v>1</x:v>
      </x:c>
      <x:c r="D25" s="9" t="str">
        <x:v>product_guide.txt</x:v>
      </x:c>
      <x:c r="E25" s="9" t="str">
        <x:v>3 workspaces</x:v>
      </x:c>
      <x:c r="F25" s="2" t="n">
        <x:v>1</x:v>
      </x:c>
      <x:c r="G25" s="2" t="n">
        <x:v>0</x:v>
      </x:c>
      <x:c r="H25" s="10" t="n">
        <x:v>0.911</x:v>
      </x:c>
      <x:c r="I25" s="9" t="str">
        <x:f>IF(C25=1,IF(F25=1,"Evidence found","Evidence missed"),IF(G25=1,"Correct abstention","Unsupported retrieval"))</x:f>
        <x:v>Evidence found</x:v>
      </x:c>
      <x:c r="J25" s="2"/>
    </x:row>
    <x:row r="26" ht="48" customHeight="1">
      <x:c r="A26" s="2" t="n">
        <x:v>21</x:v>
      </x:c>
      <x:c r="B26" s="9" t="str">
        <x:v>How much does the Pro plan cost?</x:v>
      </x:c>
      <x:c r="C26" s="9" t="n">
        <x:v>1</x:v>
      </x:c>
      <x:c r="D26" s="9" t="str">
        <x:v>product_guide.txt</x:v>
      </x:c>
      <x:c r="E26" s="9" t="str">
        <x:v>499</x:v>
      </x:c>
      <x:c r="F26" s="2" t="n">
        <x:v>1</x:v>
      </x:c>
      <x:c r="G26" s="2" t="n">
        <x:v>0</x:v>
      </x:c>
      <x:c r="H26" s="10" t="n">
        <x:v>0.374</x:v>
      </x:c>
      <x:c r="I26" s="9" t="str">
        <x:f>IF(C26=1,IF(F26=1,"Evidence found","Evidence missed"),IF(G26=1,"Correct abstention","Unsupported retrieval"))</x:f>
        <x:v>Evidence found</x:v>
      </x:c>
      <x:c r="J26" s="2"/>
    </x:row>
    <x:row r="27" ht="48" customHeight="1">
      <x:c r="A27" s="2" t="n">
        <x:v>22</x:v>
      </x:c>
      <x:c r="B27" s="9" t="str">
        <x:v>What is included in the Business plan?</x:v>
      </x:c>
      <x:c r="C27" s="9" t="n">
        <x:v>1</x:v>
      </x:c>
      <x:c r="D27" s="9" t="str">
        <x:v>product_guide.txt</x:v>
      </x:c>
      <x:c r="E27" s="9" t="str">
        <x:v>single sign-on</x:v>
      </x:c>
      <x:c r="F27" s="2" t="n">
        <x:v>1</x:v>
      </x:c>
      <x:c r="G27" s="2" t="n">
        <x:v>0</x:v>
      </x:c>
      <x:c r="H27" s="10" t="n">
        <x:v>1.687</x:v>
      </x:c>
      <x:c r="I27" s="9" t="str">
        <x:f>IF(C27=1,IF(F27=1,"Evidence found","Evidence missed"),IF(G27=1,"Correct abstention","Unsupported retrieval"))</x:f>
        <x:v>Evidence found</x:v>
      </x:c>
      <x:c r="J27" s="2"/>
    </x:row>
    <x:row r="28" ht="48" customHeight="1">
      <x:c r="A28" s="2" t="n">
        <x:v>23</x:v>
      </x:c>
      <x:c r="B28" s="9" t="str">
        <x:v>Which note export formats are available?</x:v>
      </x:c>
      <x:c r="C28" s="9" t="n">
        <x:v>1</x:v>
      </x:c>
      <x:c r="D28" s="9" t="str">
        <x:v>product_guide.txt</x:v>
      </x:c>
      <x:c r="E28" s="9" t="str">
        <x:v>Markdown or PDF</x:v>
      </x:c>
      <x:c r="F28" s="2" t="n">
        <x:v>1</x:v>
      </x:c>
      <x:c r="G28" s="2" t="n">
        <x:v>0</x:v>
      </x:c>
      <x:c r="H28" s="10" t="n">
        <x:v>0.363</x:v>
      </x:c>
      <x:c r="I28" s="9" t="str">
        <x:f>IF(C28=1,IF(F28=1,"Evidence found","Evidence missed"),IF(G28=1,"Correct abstention","Unsupported retrieval"))</x:f>
        <x:v>Evidence found</x:v>
      </x:c>
      <x:c r="J28" s="2"/>
    </x:row>
    <x:row r="29" ht="48" customHeight="1">
      <x:c r="A29" s="2" t="n">
        <x:v>24</x:v>
      </x:c>
      <x:c r="B29" s="9" t="str">
        <x:v>How long can deleted notes be restored?</x:v>
      </x:c>
      <x:c r="C29" s="9" t="n">
        <x:v>1</x:v>
      </x:c>
      <x:c r="D29" s="9" t="str">
        <x:v>product_guide.txt</x:v>
      </x:c>
      <x:c r="E29" s="9" t="str">
        <x:v>30 days</x:v>
      </x:c>
      <x:c r="F29" s="2" t="n">
        <x:v>1</x:v>
      </x:c>
      <x:c r="G29" s="2" t="n">
        <x:v>0</x:v>
      </x:c>
      <x:c r="H29" s="10" t="n">
        <x:v>0.48</x:v>
      </x:c>
      <x:c r="I29" s="9" t="str">
        <x:f>IF(C29=1,IF(F29=1,"Evidence found","Evidence missed"),IF(G29=1,"Correct abstention","Unsupported retrieval"))</x:f>
        <x:v>Evidence found</x:v>
      </x:c>
      <x:c r="J29" s="2"/>
    </x:row>
    <x:row r="30" ht="48" customHeight="1">
      <x:c r="A30" s="2" t="n">
        <x:v>25</x:v>
      </x:c>
      <x:c r="B30" s="9" t="str">
        <x:v>How do I cancel my subscription?</x:v>
      </x:c>
      <x:c r="C30" s="9" t="n">
        <x:v>1</x:v>
      </x:c>
      <x:c r="D30" s="9" t="str">
        <x:v>product_guide.txt</x:v>
      </x:c>
      <x:c r="E30" s="9" t="str">
        <x:v>Billing settings</x:v>
      </x:c>
      <x:c r="F30" s="2" t="n">
        <x:v>0</x:v>
      </x:c>
      <x:c r="G30" s="2" t="n">
        <x:v>1</x:v>
      </x:c>
      <x:c r="H30" s="10" t="n">
        <x:v>0.328</x:v>
      </x:c>
      <x:c r="I30" s="9" t="str">
        <x:f>IF(C30=1,IF(F30=1,"Evidence found","Evidence missed"),IF(G30=1,"Correct abstention","Unsupported retrieval"))</x:f>
        <x:v>Evidence missed</x:v>
      </x:c>
      <x:c r="J30" s="2"/>
    </x:row>
    <x:row r="31" ht="48" customHeight="1">
      <x:c r="A31" s="2" t="n">
        <x:v>26</x:v>
      </x:c>
      <x:c r="B31" s="9" t="str">
        <x:v>What is the orbital velocity of Neptune?</x:v>
      </x:c>
      <x:c r="C31" s="9" t="n">
        <x:v>0</x:v>
      </x:c>
      <x:c r="D31" s="9" t="str">
        <x:v>n.a.</x:v>
      </x:c>
      <x:c r="E31" s="9" t="str">
        <x:v>n.a.</x:v>
      </x:c>
      <x:c r="F31" s="2" t="str">
        <x:v>n.a.</x:v>
      </x:c>
      <x:c r="G31" s="2" t="n">
        <x:v>1</x:v>
      </x:c>
      <x:c r="H31" s="10" t="n">
        <x:v>0.249</x:v>
      </x:c>
      <x:c r="I31" s="9" t="str">
        <x:f>IF(C31=1,IF(F31=1,"Evidence found","Evidence missed"),IF(G31=1,"Correct abstention","Unsupported retrieval"))</x:f>
        <x:v>Correct abstention</x:v>
      </x:c>
      <x:c r="J31" s="2"/>
    </x:row>
    <x:row r="32" ht="48" customHeight="1">
      <x:c r="A32" s="2" t="n">
        <x:v>27</x:v>
      </x:c>
      <x:c r="B32" s="9" t="str">
        <x:v>Who won the football World Cup in 2018?</x:v>
      </x:c>
      <x:c r="C32" s="9" t="n">
        <x:v>0</x:v>
      </x:c>
      <x:c r="D32" s="9" t="str">
        <x:v>n.a.</x:v>
      </x:c>
      <x:c r="E32" s="9" t="str">
        <x:v>n.a.</x:v>
      </x:c>
      <x:c r="F32" s="2" t="str">
        <x:v>n.a.</x:v>
      </x:c>
      <x:c r="G32" s="2" t="n">
        <x:v>1</x:v>
      </x:c>
      <x:c r="H32" s="10" t="n">
        <x:v>1.138</x:v>
      </x:c>
      <x:c r="I32" s="9" t="str">
        <x:f>IF(C32=1,IF(F32=1,"Evidence found","Evidence missed"),IF(G32=1,"Correct abstention","Unsupported retrieval"))</x:f>
        <x:v>Correct abstention</x:v>
      </x:c>
      <x:c r="J32" s="2"/>
    </x:row>
    <x:row r="33" ht="48" customHeight="1">
      <x:c r="A33" s="2" t="n">
        <x:v>28</x:v>
      </x:c>
      <x:c r="B33" s="9" t="str">
        <x:v>What is the CEO salary?</x:v>
      </x:c>
      <x:c r="C33" s="9" t="n">
        <x:v>0</x:v>
      </x:c>
      <x:c r="D33" s="9" t="str">
        <x:v>n.a.</x:v>
      </x:c>
      <x:c r="E33" s="9" t="str">
        <x:v>n.a.</x:v>
      </x:c>
      <x:c r="F33" s="2" t="str">
        <x:v>n.a.</x:v>
      </x:c>
      <x:c r="G33" s="2" t="n">
        <x:v>1</x:v>
      </x:c>
      <x:c r="H33" s="10" t="n">
        <x:v>0.462</x:v>
      </x:c>
      <x:c r="I33" s="9" t="str">
        <x:f>IF(C33=1,IF(F33=1,"Evidence found","Evidence missed"),IF(G33=1,"Correct abstention","Unsupported retrieval"))</x:f>
        <x:v>Correct abstention</x:v>
      </x:c>
      <x:c r="J33" s="2"/>
    </x:row>
    <x:row r="34" ht="48" customHeight="1">
      <x:c r="A34" s="2" t="n">
        <x:v>29</x:v>
      </x:c>
      <x:c r="B34" s="9" t="str">
        <x:v>Does the company pay overtime?</x:v>
      </x:c>
      <x:c r="C34" s="9" t="n">
        <x:v>0</x:v>
      </x:c>
      <x:c r="D34" s="9" t="str">
        <x:v>n.a.</x:v>
      </x:c>
      <x:c r="E34" s="9" t="str">
        <x:v>n.a.</x:v>
      </x:c>
      <x:c r="F34" s="2" t="str">
        <x:v>n.a.</x:v>
      </x:c>
      <x:c r="G34" s="2" t="n">
        <x:v>0</x:v>
      </x:c>
      <x:c r="H34" s="10" t="n">
        <x:v>0.472</x:v>
      </x:c>
      <x:c r="I34" s="9" t="str">
        <x:f>IF(C34=1,IF(F34=1,"Evidence found","Evidence missed"),IF(G34=1,"Correct abstention","Unsupported retrieval"))</x:f>
        <x:v>Unsupported retrieval</x:v>
      </x:c>
      <x:c r="J34" s="2"/>
    </x:row>
    <x:row r="35" ht="48" customHeight="1">
      <x:c r="A35" s="2" t="n">
        <x:v>30</x:v>
      </x:c>
      <x:c r="B35" s="9" t="str">
        <x:v>Are interns eligible for paid parental leave?</x:v>
      </x:c>
      <x:c r="C35" s="9" t="n">
        <x:v>0</x:v>
      </x:c>
      <x:c r="D35" s="9" t="str">
        <x:v>n.a.</x:v>
      </x:c>
      <x:c r="E35" s="9" t="str">
        <x:v>n.a.</x:v>
      </x:c>
      <x:c r="F35" s="2" t="str">
        <x:v>n.a.</x:v>
      </x:c>
      <x:c r="G35" s="2" t="n">
        <x:v>0</x:v>
      </x:c>
      <x:c r="H35" s="10" t="n">
        <x:v>1.44</x:v>
      </x:c>
      <x:c r="I35" s="9" t="str">
        <x:f>IF(C35=1,IF(F35=1,"Evidence found","Evidence missed"),IF(G35=1,"Correct abstention","Unsupported retrieval"))</x:f>
        <x:v>Unsupported retrieval</x:v>
      </x:c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conditionalFormatting sqref="I6:I35">
    <x:cfRule type="containsText" dxfId="0" priority="1" operator="containsText" text="missed"/>
    <x:cfRule type="containsText" dxfId="1" priority="2" operator="containsText" text="Unsupported"/>
  </x:conditionalFormatting>
  <x:pageMargins left="0.7" right="0.7" top="0.75" bottom="0.75" header="0.3" footer="0.3"/>
  <x:tableParts count="1">
    <x:tablePart xmlns:r="http://schemas.openxmlformats.org/officeDocument/2006/relationships" r:id="Rd0d7a54ff15946cc"/>
  </x:tableParts>
</x:worksheet>
</file>